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mary_Energy_Mix_2023" sheetId="1" state="visible" r:id="rId3"/>
    <sheet name="Electricity_Mix_2023" sheetId="2" state="visible" r:id="rId4"/>
    <sheet name="RE_Capacity_Targets" sheetId="3" state="visible" r:id="rId5"/>
    <sheet name="Generation_Mix_2050" sheetId="4" state="visible" r:id="rId6"/>
    <sheet name="Emissions_Targets" sheetId="5" state="visible" r:id="rId7"/>
    <sheet name="CCS_Kasawari" sheetId="6" state="visible" r:id="rId8"/>
    <sheet name="NETR_Investment" sheetId="7" state="visible" r:id="rId9"/>
    <sheet name="Key_Indicators" sheetId="8" state="visible" r:id="rId10"/>
    <sheet name="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<sst xmlns="http://schemas.openxmlformats.org/spreadsheetml/2006/main" count="186" uniqueCount="155">
  <si>
    <t xml:space="preserve">Malaysia Total Primary Energy Supply by Source, 2023</t>
  </si>
  <si>
    <t xml:space="preserve">Energy Source</t>
  </si>
  <si>
    <t xml:space="preserve">Share of TPES</t>
  </si>
  <si>
    <t xml:space="preserve">Category</t>
  </si>
  <si>
    <t xml:space="preserve">Natural Gas</t>
  </si>
  <si>
    <t xml:space="preserve">Fossil</t>
  </si>
  <si>
    <t xml:space="preserve">Crude Oil &amp; Petroleum</t>
  </si>
  <si>
    <t xml:space="preserve">Coal &amp; Coke</t>
  </si>
  <si>
    <t xml:space="preserve">Renewables</t>
  </si>
  <si>
    <t xml:space="preserve">Clean</t>
  </si>
  <si>
    <t xml:space="preserve">Total fossil</t>
  </si>
  <si>
    <t xml:space="preserve">Source: World Energy Council, World Energy Trilemma – Malaysia (2025)</t>
  </si>
  <si>
    <t xml:space="preserve">Malaysia Electricity Generation Mix, 2023</t>
  </si>
  <si>
    <t xml:space="preserve">Source</t>
  </si>
  <si>
    <t xml:space="preserve">Share of Generation</t>
  </si>
  <si>
    <t xml:space="preserve">Source Ref</t>
  </si>
  <si>
    <t xml:space="preserve">Coal</t>
  </si>
  <si>
    <t xml:space="preserve">WEC 2025</t>
  </si>
  <si>
    <t xml:space="preserve">Hydropower</t>
  </si>
  <si>
    <t xml:space="preserve">Other / RE</t>
  </si>
  <si>
    <t xml:space="preserve">Renewable Energy Installed-Capacity Target Trajectory (NETR / MyRER)</t>
  </si>
  <si>
    <t xml:space="preserve">Year / Milestone</t>
  </si>
  <si>
    <t xml:space="preserve">RE Share of Installed Capacity</t>
  </si>
  <si>
    <t xml:space="preserve">Policy Source</t>
  </si>
  <si>
    <t xml:space="preserve">2023 (actual)</t>
  </si>
  <si>
    <t xml:space="preserve">Min. NRES (Nik Nazmi)</t>
  </si>
  <si>
    <t xml:space="preserve">2025 target</t>
  </si>
  <si>
    <t xml:space="preserve">MyRER</t>
  </si>
  <si>
    <t xml:space="preserve">2035 target</t>
  </si>
  <si>
    <t xml:space="preserve">MyRER / NETR</t>
  </si>
  <si>
    <t xml:space="preserve">2050 target</t>
  </si>
  <si>
    <t xml:space="preserve">NETR</t>
  </si>
  <si>
    <t xml:space="preserve">Note: target is for electricity capacity, not whole energy system</t>
  </si>
  <si>
    <t xml:space="preserve">Projected Electricity Generation Mix, 2050 (NETR / ISIS Malaysia)</t>
  </si>
  <si>
    <t xml:space="preserve">Share of Generation 2050</t>
  </si>
  <si>
    <t xml:space="preserve">Type</t>
  </si>
  <si>
    <t xml:space="preserve">Solar</t>
  </si>
  <si>
    <t xml:space="preserve">Renewable</t>
  </si>
  <si>
    <t xml:space="preserve">Bioenergy</t>
  </si>
  <si>
    <t xml:space="preserve">Fossil (transition)</t>
  </si>
  <si>
    <t xml:space="preserve">Total RE</t>
  </si>
  <si>
    <t xml:space="preserve">National &amp; PETRONAS Decarbonisation Targets</t>
  </si>
  <si>
    <t xml:space="preserve">Target</t>
  </si>
  <si>
    <t xml:space="preserve">Value</t>
  </si>
  <si>
    <t xml:space="preserve">National net-zero GHG</t>
  </si>
  <si>
    <t xml:space="preserve">By 2050</t>
  </si>
  <si>
    <t xml:space="preserve">NETR / 12MP</t>
  </si>
  <si>
    <t xml:space="preserve">Carbon intensity reduction vs GDP</t>
  </si>
  <si>
    <t xml:space="preserve">45% by 2030 (2005 base)</t>
  </si>
  <si>
    <t xml:space="preserve">NDC / NETR</t>
  </si>
  <si>
    <t xml:space="preserve">Energy-sector GHG reduction by 2050</t>
  </si>
  <si>
    <t xml:space="preserve">32% vs 2019 (4.3 t CO2e per capita)</t>
  </si>
  <si>
    <t xml:space="preserve">Coal phase-out</t>
  </si>
  <si>
    <t xml:space="preserve">By 2044</t>
  </si>
  <si>
    <t xml:space="preserve">Min. NRES (2026)</t>
  </si>
  <si>
    <t xml:space="preserve">PETRONAS net-zero carbon emissions</t>
  </si>
  <si>
    <t xml:space="preserve">PETRONAS NZCE Pathway</t>
  </si>
  <si>
    <t xml:space="preserve">PETRONAS operational emissions cap</t>
  </si>
  <si>
    <t xml:space="preserve">49.5 Mt CO2e by 2024</t>
  </si>
  <si>
    <t xml:space="preserve">PETRONAS</t>
  </si>
  <si>
    <t xml:space="preserve">PETRONAS methane reduction</t>
  </si>
  <si>
    <t xml:space="preserve">50% vs 2019 by 2025</t>
  </si>
  <si>
    <t xml:space="preserve">EIA / PETRONAS</t>
  </si>
  <si>
    <t xml:space="preserve">Energy sector share of national GHG</t>
  </si>
  <si>
    <t xml:space="preserve">~80%</t>
  </si>
  <si>
    <t xml:space="preserve">NETR / PwC</t>
  </si>
  <si>
    <t xml:space="preserve">Kasawari CCS Project (PETRONAS, offshore Sarawak)</t>
  </si>
  <si>
    <t xml:space="preserve">Metric</t>
  </si>
  <si>
    <t xml:space="preserve">Annual CO2 capture/injection</t>
  </si>
  <si>
    <t xml:space="preserve">3.7 MTPA</t>
  </si>
  <si>
    <t xml:space="preserve">IPTC 2023 / PETRONAS</t>
  </si>
  <si>
    <t xml:space="preserve">Total CO2 stored (25 yrs)</t>
  </si>
  <si>
    <t xml:space="preserve">~80 MT</t>
  </si>
  <si>
    <t xml:space="preserve">IPTC 2023</t>
  </si>
  <si>
    <t xml:space="preserve">Share of global CCS operation (2021)</t>
  </si>
  <si>
    <t xml:space="preserve">~9%</t>
  </si>
  <si>
    <t xml:space="preserve">First CO2 injection</t>
  </si>
  <si>
    <t xml:space="preserve">End 2025 / 2026</t>
  </si>
  <si>
    <t xml:space="preserve">PETRONAS / Eco-Business</t>
  </si>
  <si>
    <t xml:space="preserve">Status</t>
  </si>
  <si>
    <t xml:space="preserve">World’s largest offshore CCS</t>
  </si>
  <si>
    <t xml:space="preserve">NETR Investment &amp; Economic Impact (RM)</t>
  </si>
  <si>
    <t xml:space="preserve">Item</t>
  </si>
  <si>
    <t xml:space="preserve">Value (RM)</t>
  </si>
  <si>
    <t xml:space="preserve">NETR flagship projects (Phase 1)</t>
  </si>
  <si>
    <t xml:space="preserve">&gt; 25 billion</t>
  </si>
  <si>
    <t xml:space="preserve">MIDA</t>
  </si>
  <si>
    <t xml:space="preserve">Jobs from flagship projects</t>
  </si>
  <si>
    <t xml:space="preserve">23,000</t>
  </si>
  <si>
    <t xml:space="preserve">Total NETR investment opportunity by 2050</t>
  </si>
  <si>
    <t xml:space="preserve">435 billion – 1.85 trillion</t>
  </si>
  <si>
    <t xml:space="preserve">NETR (official)</t>
  </si>
  <si>
    <t xml:space="preserve">Responsible Transition investment by 2050</t>
  </si>
  <si>
    <t xml:space="preserve">1.2 – 1.3 trillion</t>
  </si>
  <si>
    <t xml:space="preserve">MIDA / WEC</t>
  </si>
  <si>
    <t xml:space="preserve">Green investment needed for 70% RE</t>
  </si>
  <si>
    <t xml:space="preserve">637 billion</t>
  </si>
  <si>
    <t xml:space="preserve">MIDA / Energy Watch</t>
  </si>
  <si>
    <t xml:space="preserve">Additional GDP contribution by 2050</t>
  </si>
  <si>
    <t xml:space="preserve">220 billion</t>
  </si>
  <si>
    <t xml:space="preserve">Green jobs by 2050</t>
  </si>
  <si>
    <t xml:space="preserve">310,000</t>
  </si>
  <si>
    <t xml:space="preserve">National Energy Transition Fund (Budget 2026)</t>
  </si>
  <si>
    <t xml:space="preserve">150 million</t>
  </si>
  <si>
    <t xml:space="preserve">The Malaysian Reserve</t>
  </si>
  <si>
    <t xml:space="preserve">LSS6 solar programme (~2 GW)</t>
  </si>
  <si>
    <t xml:space="preserve">6 billion (private)</t>
  </si>
  <si>
    <t xml:space="preserve">Budget 2026</t>
  </si>
  <si>
    <t xml:space="preserve">GLIC/GLC RE investment 2026</t>
  </si>
  <si>
    <t xml:space="preserve">16.5 billion</t>
  </si>
  <si>
    <t xml:space="preserve">Key Energy-Transition Indicators</t>
  </si>
  <si>
    <t xml:space="preserve">Indicator</t>
  </si>
  <si>
    <t xml:space="preserve">Fossil share of energy system (2023)</t>
  </si>
  <si>
    <t xml:space="preserve">~96%</t>
  </si>
  <si>
    <t xml:space="preserve">Gas share of TPES by 2050</t>
  </si>
  <si>
    <t xml:space="preserve">56% (57 MTOE)</t>
  </si>
  <si>
    <t xml:space="preserve">NETR / Conventus</t>
  </si>
  <si>
    <t xml:space="preserve">RE share of TPES by 2050</t>
  </si>
  <si>
    <t xml:space="preserve">23% (from 4% in 2023)</t>
  </si>
  <si>
    <t xml:space="preserve">Energy demand growth to 2040</t>
  </si>
  <si>
    <t xml:space="preserve">3–4% per year</t>
  </si>
  <si>
    <t xml:space="preserve">Electricity demand by 2050</t>
  </si>
  <si>
    <t xml:space="preserve">Doubles vs today</t>
  </si>
  <si>
    <t xml:space="preserve">RE share of generation today</t>
  </si>
  <si>
    <t xml:space="preserve">~5–6%</t>
  </si>
  <si>
    <t xml:space="preserve">Biodiesel palm blend</t>
  </si>
  <si>
    <t xml:space="preserve">B12 (12% palm)</t>
  </si>
  <si>
    <t xml:space="preserve">Min. NRES 2026</t>
  </si>
  <si>
    <t xml:space="preserve">Data Sources</t>
  </si>
  <si>
    <t xml:space="preserve">#</t>
  </si>
  <si>
    <t xml:space="preserve">URL</t>
  </si>
  <si>
    <t xml:space="preserve">EPU (2023). National Energy Transition Roadmap (NETR). Ministry of Economy, Malaysia.</t>
  </si>
  <si>
    <t xml:space="preserve">https://www.ekonomi.gov.my</t>
  </si>
  <si>
    <t xml:space="preserve">World Energy Council (2025). World Energy Trilemma – Malaysia Profile.</t>
  </si>
  <si>
    <t xml:space="preserve">https://www.worldenergy.org</t>
  </si>
  <si>
    <t xml:space="preserve">MIDA (2024). NETR: Charting a Path to a Sustainable Energy Landscape.</t>
  </si>
  <si>
    <t xml:space="preserve">https://www.mida.gov.my</t>
  </si>
  <si>
    <t xml:space="preserve">PETRONAS (2023). Pathway to Net Zero Carbon Emissions 2050 (3rd ed.).</t>
  </si>
  <si>
    <t xml:space="preserve">https://www.petronas.com</t>
  </si>
  <si>
    <t xml:space="preserve">IPTC (2023). Kasawari CCS: Unfolding the Largest Offshore CCS Project Realization.</t>
  </si>
  <si>
    <t xml:space="preserve">https://onepetro.org/IPTCONF/...</t>
  </si>
  <si>
    <t xml:space="preserve">Chan, H.-Y. &amp; Sopian, K. (2022). High renewable net-zero power generation in Malaysia. Phil. Trans. R. Soc. A.</t>
  </si>
  <si>
    <t xml:space="preserve">https://doi.org/10.1098/rsta.2021.0132</t>
  </si>
  <si>
    <t xml:space="preserve">Heliyon (2024). Economic &amp; environmental analysis of Malaysia 2025 RE targets.</t>
  </si>
  <si>
    <t xml:space="preserve">https://pmc.ncbi.nlm.nih.gov/articles/PMC11096703/</t>
  </si>
  <si>
    <t xml:space="preserve">Frontiers in Energy Research (2024). Carbon neutrality in Malaysia and KL.</t>
  </si>
  <si>
    <t xml:space="preserve">https://doi.org/10.3389/fenrg.2024.1336045</t>
  </si>
  <si>
    <t xml:space="preserve">IRENA (2023). Malaysia Energy Transition Outlook.</t>
  </si>
  <si>
    <t xml:space="preserve">https://www.irena.org</t>
  </si>
  <si>
    <t xml:space="preserve">U.S. EIA (2024). Malaysia Country Analysis Brief.</t>
  </si>
  <si>
    <t xml:space="preserve">https://www.eia.gov</t>
  </si>
  <si>
    <t xml:space="preserve">The Edge Malaysia / ISIS Malaysia (2025). 2050 generation mix breakdown.</t>
  </si>
  <si>
    <t xml:space="preserve">https://theedgemalaysia.com</t>
  </si>
  <si>
    <t xml:space="preserve">The Malaysian Reserve (2025). Budget 2026 energy-transition allocations.</t>
  </si>
  <si>
    <t xml:space="preserve">https://themalaysianreserve.com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</si>
</sst>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5D3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5D3B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5D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v>0.47</v>
      </c>
      <c r="C4" s="3" t="s">
        <v>5</v>
      </c>
    </row>
    <row r="5" customFormat="false" ht="15" hidden="false" customHeight="false" outlineLevel="0" collapsed="false">
      <c r="A5" s="3" t="s">
        <v>6</v>
      </c>
      <c r="B5" s="4" t="n">
        <v>0.252</v>
      </c>
      <c r="C5" s="3" t="s">
        <v>5</v>
      </c>
    </row>
    <row r="6" customFormat="false" ht="15" hidden="false" customHeight="false" outlineLevel="0" collapsed="false">
      <c r="A6" s="3" t="s">
        <v>7</v>
      </c>
      <c r="B6" s="4" t="n">
        <v>0.236</v>
      </c>
      <c r="C6" s="3" t="s">
        <v>5</v>
      </c>
    </row>
    <row r="7" customFormat="false" ht="15" hidden="false" customHeight="false" outlineLevel="0" collapsed="false">
      <c r="A7" s="3" t="s">
        <v>8</v>
      </c>
      <c r="B7" s="4" t="n">
        <v>0.042</v>
      </c>
      <c r="C7" s="3" t="s">
        <v>9</v>
      </c>
    </row>
    <row r="8" customFormat="false" ht="15" hidden="false" customHeight="false" outlineLevel="0" collapsed="false">
      <c r="A8" s="5" t="s">
        <v>10</v>
      </c>
      <c r="B8" s="6" t="n">
        <f aca="false">SUMIF(C4:C7,"Fossil",B4:B7)</f>
        <v>0.958</v>
      </c>
    </row>
    <row r="9" customFormat="false" ht="15" hidden="false" customHeight="false" outlineLevel="0" collapsed="false">
      <c r="A9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12</v>
      </c>
    </row>
    <row r="3" customFormat="false" ht="26.85" hidden="false" customHeight="false" outlineLevel="0" collapsed="false">
      <c r="A3" s="2" t="s">
        <v>13</v>
      </c>
      <c r="B3" s="2" t="s">
        <v>14</v>
      </c>
      <c r="C3" s="2" t="s">
        <v>15</v>
      </c>
    </row>
    <row r="4" customFormat="false" ht="15" hidden="false" customHeight="false" outlineLevel="0" collapsed="false">
      <c r="A4" s="3" t="s">
        <v>16</v>
      </c>
      <c r="B4" s="4" t="n">
        <v>0.43</v>
      </c>
      <c r="C4" s="8" t="s">
        <v>17</v>
      </c>
    </row>
    <row r="5" customFormat="false" ht="15" hidden="false" customHeight="false" outlineLevel="0" collapsed="false">
      <c r="A5" s="3" t="s">
        <v>4</v>
      </c>
      <c r="B5" s="4" t="n">
        <v>0.36</v>
      </c>
      <c r="C5" s="8" t="s">
        <v>17</v>
      </c>
    </row>
    <row r="6" customFormat="false" ht="15" hidden="false" customHeight="false" outlineLevel="0" collapsed="false">
      <c r="A6" s="3" t="s">
        <v>18</v>
      </c>
      <c r="B6" s="4" t="n">
        <v>0.17</v>
      </c>
      <c r="C6" s="8" t="s">
        <v>17</v>
      </c>
    </row>
    <row r="7" customFormat="false" ht="15" hidden="false" customHeight="false" outlineLevel="0" collapsed="false">
      <c r="A7" s="3" t="s">
        <v>19</v>
      </c>
      <c r="B7" s="4" t="n">
        <v>0.04</v>
      </c>
      <c r="C7" s="8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20</v>
      </c>
    </row>
    <row r="3" customFormat="false" ht="26.85" hidden="false" customHeight="false" outlineLevel="0" collapsed="false">
      <c r="A3" s="2" t="s">
        <v>21</v>
      </c>
      <c r="B3" s="2" t="s">
        <v>22</v>
      </c>
      <c r="C3" s="2" t="s">
        <v>23</v>
      </c>
    </row>
    <row r="4" customFormat="false" ht="15" hidden="false" customHeight="false" outlineLevel="0" collapsed="false">
      <c r="A4" s="3" t="s">
        <v>24</v>
      </c>
      <c r="B4" s="9" t="n">
        <v>0.25</v>
      </c>
      <c r="C4" s="8" t="s">
        <v>25</v>
      </c>
    </row>
    <row r="5" customFormat="false" ht="15" hidden="false" customHeight="false" outlineLevel="0" collapsed="false">
      <c r="A5" s="3" t="s">
        <v>26</v>
      </c>
      <c r="B5" s="9" t="n">
        <v>0.31</v>
      </c>
      <c r="C5" s="8" t="s">
        <v>27</v>
      </c>
    </row>
    <row r="6" customFormat="false" ht="15" hidden="false" customHeight="false" outlineLevel="0" collapsed="false">
      <c r="A6" s="3" t="s">
        <v>28</v>
      </c>
      <c r="B6" s="9" t="n">
        <v>0.4</v>
      </c>
      <c r="C6" s="8" t="s">
        <v>29</v>
      </c>
    </row>
    <row r="7" customFormat="false" ht="15" hidden="false" customHeight="false" outlineLevel="0" collapsed="false">
      <c r="A7" s="3" t="s">
        <v>30</v>
      </c>
      <c r="B7" s="9" t="n">
        <v>0.7</v>
      </c>
      <c r="C7" s="8" t="s">
        <v>31</v>
      </c>
    </row>
    <row r="8" customFormat="false" ht="15" hidden="false" customHeight="false" outlineLevel="0" collapsed="false">
      <c r="A8" s="7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33</v>
      </c>
    </row>
    <row r="3" customFormat="false" ht="26.85" hidden="false" customHeight="false" outlineLevel="0" collapsed="false">
      <c r="A3" s="2" t="s">
        <v>13</v>
      </c>
      <c r="B3" s="2" t="s">
        <v>34</v>
      </c>
      <c r="C3" s="2" t="s">
        <v>35</v>
      </c>
    </row>
    <row r="4" customFormat="false" ht="15" hidden="false" customHeight="false" outlineLevel="0" collapsed="false">
      <c r="A4" s="3" t="s">
        <v>36</v>
      </c>
      <c r="B4" s="9" t="n">
        <v>0.58</v>
      </c>
      <c r="C4" s="3" t="s">
        <v>37</v>
      </c>
    </row>
    <row r="5" customFormat="false" ht="15" hidden="false" customHeight="false" outlineLevel="0" collapsed="false">
      <c r="A5" s="3" t="s">
        <v>18</v>
      </c>
      <c r="B5" s="9" t="n">
        <v>0.11</v>
      </c>
      <c r="C5" s="3" t="s">
        <v>37</v>
      </c>
    </row>
    <row r="6" customFormat="false" ht="15" hidden="false" customHeight="false" outlineLevel="0" collapsed="false">
      <c r="A6" s="3" t="s">
        <v>38</v>
      </c>
      <c r="B6" s="9" t="n">
        <v>0.01</v>
      </c>
      <c r="C6" s="3" t="s">
        <v>37</v>
      </c>
    </row>
    <row r="7" customFormat="false" ht="15" hidden="false" customHeight="false" outlineLevel="0" collapsed="false">
      <c r="A7" s="3" t="s">
        <v>4</v>
      </c>
      <c r="B7" s="9" t="n">
        <v>0.3</v>
      </c>
      <c r="C7" s="3" t="s">
        <v>39</v>
      </c>
    </row>
    <row r="8" customFormat="false" ht="15" hidden="false" customHeight="false" outlineLevel="0" collapsed="false">
      <c r="A8" s="5" t="s">
        <v>40</v>
      </c>
      <c r="B8" s="10" t="n">
        <f aca="false">SUMIF(C4:C7,"Renewable",B4:B7)</f>
        <v>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6"/>
    <col collapsed="false" customWidth="true" hidden="false" outlineLevel="0" max="3" min="3" style="0" width="26"/>
  </cols>
  <sheetData>
    <row r="1" customFormat="false" ht="17.35" hidden="false" customHeight="false" outlineLevel="0" collapsed="false">
      <c r="A1" s="1" t="s">
        <v>41</v>
      </c>
    </row>
    <row r="3" customFormat="false" ht="15" hidden="false" customHeight="false" outlineLevel="0" collapsed="false">
      <c r="A3" s="2" t="s">
        <v>42</v>
      </c>
      <c r="B3" s="2" t="s">
        <v>43</v>
      </c>
      <c r="C3" s="2" t="s">
        <v>13</v>
      </c>
    </row>
    <row r="4" customFormat="false" ht="15" hidden="false" customHeight="false" outlineLevel="0" collapsed="false">
      <c r="A4" s="11" t="s">
        <v>44</v>
      </c>
      <c r="B4" s="3" t="s">
        <v>45</v>
      </c>
      <c r="C4" s="8" t="s">
        <v>46</v>
      </c>
    </row>
    <row r="5" customFormat="false" ht="15" hidden="false" customHeight="false" outlineLevel="0" collapsed="false">
      <c r="A5" s="11" t="s">
        <v>47</v>
      </c>
      <c r="B5" s="3" t="s">
        <v>48</v>
      </c>
      <c r="C5" s="8" t="s">
        <v>49</v>
      </c>
    </row>
    <row r="6" customFormat="false" ht="15" hidden="false" customHeight="false" outlineLevel="0" collapsed="false">
      <c r="A6" s="11" t="s">
        <v>50</v>
      </c>
      <c r="B6" s="3" t="s">
        <v>51</v>
      </c>
      <c r="C6" s="8" t="s">
        <v>17</v>
      </c>
    </row>
    <row r="7" customFormat="false" ht="15" hidden="false" customHeight="false" outlineLevel="0" collapsed="false">
      <c r="A7" s="11" t="s">
        <v>52</v>
      </c>
      <c r="B7" s="3" t="s">
        <v>53</v>
      </c>
      <c r="C7" s="8" t="s">
        <v>54</v>
      </c>
    </row>
    <row r="8" customFormat="false" ht="15" hidden="false" customHeight="false" outlineLevel="0" collapsed="false">
      <c r="A8" s="11" t="s">
        <v>55</v>
      </c>
      <c r="B8" s="3" t="s">
        <v>45</v>
      </c>
      <c r="C8" s="8" t="s">
        <v>56</v>
      </c>
    </row>
    <row r="9" customFormat="false" ht="15" hidden="false" customHeight="false" outlineLevel="0" collapsed="false">
      <c r="A9" s="11" t="s">
        <v>57</v>
      </c>
      <c r="B9" s="3" t="s">
        <v>58</v>
      </c>
      <c r="C9" s="8" t="s">
        <v>59</v>
      </c>
    </row>
    <row r="10" customFormat="false" ht="15" hidden="false" customHeight="false" outlineLevel="0" collapsed="false">
      <c r="A10" s="11" t="s">
        <v>60</v>
      </c>
      <c r="B10" s="3" t="s">
        <v>61</v>
      </c>
      <c r="C10" s="8" t="s">
        <v>62</v>
      </c>
    </row>
    <row r="11" customFormat="false" ht="15" hidden="false" customHeight="false" outlineLevel="0" collapsed="false">
      <c r="A11" s="11" t="s">
        <v>63</v>
      </c>
      <c r="B11" s="3" t="s">
        <v>64</v>
      </c>
      <c r="C11" s="8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26"/>
  </cols>
  <sheetData>
    <row r="1" customFormat="false" ht="17.35" hidden="false" customHeight="false" outlineLevel="0" collapsed="false">
      <c r="A1" s="1" t="s">
        <v>66</v>
      </c>
    </row>
    <row r="3" customFormat="false" ht="15" hidden="false" customHeight="false" outlineLevel="0" collapsed="false">
      <c r="A3" s="2" t="s">
        <v>67</v>
      </c>
      <c r="B3" s="2" t="s">
        <v>43</v>
      </c>
      <c r="C3" s="2" t="s">
        <v>13</v>
      </c>
    </row>
    <row r="4" customFormat="false" ht="15" hidden="false" customHeight="false" outlineLevel="0" collapsed="false">
      <c r="A4" s="11" t="s">
        <v>68</v>
      </c>
      <c r="B4" s="3" t="s">
        <v>69</v>
      </c>
      <c r="C4" s="8" t="s">
        <v>70</v>
      </c>
    </row>
    <row r="5" customFormat="false" ht="15" hidden="false" customHeight="false" outlineLevel="0" collapsed="false">
      <c r="A5" s="11" t="s">
        <v>71</v>
      </c>
      <c r="B5" s="3" t="s">
        <v>72</v>
      </c>
      <c r="C5" s="8" t="s">
        <v>73</v>
      </c>
    </row>
    <row r="6" customFormat="false" ht="15" hidden="false" customHeight="false" outlineLevel="0" collapsed="false">
      <c r="A6" s="11" t="s">
        <v>74</v>
      </c>
      <c r="B6" s="3" t="s">
        <v>75</v>
      </c>
      <c r="C6" s="8" t="s">
        <v>73</v>
      </c>
    </row>
    <row r="7" customFormat="false" ht="15" hidden="false" customHeight="false" outlineLevel="0" collapsed="false">
      <c r="A7" s="11" t="s">
        <v>76</v>
      </c>
      <c r="B7" s="3" t="s">
        <v>77</v>
      </c>
      <c r="C7" s="8" t="s">
        <v>78</v>
      </c>
    </row>
    <row r="8" customFormat="false" ht="15" hidden="false" customHeight="false" outlineLevel="0" collapsed="false">
      <c r="A8" s="11" t="s">
        <v>79</v>
      </c>
      <c r="B8" s="3" t="s">
        <v>80</v>
      </c>
      <c r="C8" s="8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8"/>
    <col collapsed="false" customWidth="true" hidden="false" outlineLevel="0" max="3" min="3" style="0" width="24"/>
  </cols>
  <sheetData>
    <row r="1" customFormat="false" ht="17.35" hidden="false" customHeight="false" outlineLevel="0" collapsed="false">
      <c r="A1" s="1" t="s">
        <v>81</v>
      </c>
    </row>
    <row r="3" customFormat="false" ht="15" hidden="false" customHeight="false" outlineLevel="0" collapsed="false">
      <c r="A3" s="2" t="s">
        <v>82</v>
      </c>
      <c r="B3" s="2" t="s">
        <v>83</v>
      </c>
      <c r="C3" s="2" t="s">
        <v>13</v>
      </c>
    </row>
    <row r="4" customFormat="false" ht="15" hidden="false" customHeight="false" outlineLevel="0" collapsed="false">
      <c r="A4" s="11" t="s">
        <v>84</v>
      </c>
      <c r="B4" s="3" t="s">
        <v>85</v>
      </c>
      <c r="C4" s="8" t="s">
        <v>86</v>
      </c>
    </row>
    <row r="5" customFormat="false" ht="15" hidden="false" customHeight="false" outlineLevel="0" collapsed="false">
      <c r="A5" s="11" t="s">
        <v>87</v>
      </c>
      <c r="B5" s="3" t="s">
        <v>88</v>
      </c>
      <c r="C5" s="8" t="s">
        <v>86</v>
      </c>
    </row>
    <row r="6" customFormat="false" ht="15" hidden="false" customHeight="false" outlineLevel="0" collapsed="false">
      <c r="A6" s="11" t="s">
        <v>89</v>
      </c>
      <c r="B6" s="3" t="s">
        <v>90</v>
      </c>
      <c r="C6" s="8" t="s">
        <v>91</v>
      </c>
    </row>
    <row r="7" customFormat="false" ht="15" hidden="false" customHeight="false" outlineLevel="0" collapsed="false">
      <c r="A7" s="11" t="s">
        <v>92</v>
      </c>
      <c r="B7" s="3" t="s">
        <v>93</v>
      </c>
      <c r="C7" s="8" t="s">
        <v>94</v>
      </c>
    </row>
    <row r="8" customFormat="false" ht="15" hidden="false" customHeight="false" outlineLevel="0" collapsed="false">
      <c r="A8" s="11" t="s">
        <v>95</v>
      </c>
      <c r="B8" s="3" t="s">
        <v>96</v>
      </c>
      <c r="C8" s="8" t="s">
        <v>97</v>
      </c>
    </row>
    <row r="9" customFormat="false" ht="15" hidden="false" customHeight="false" outlineLevel="0" collapsed="false">
      <c r="A9" s="11" t="s">
        <v>98</v>
      </c>
      <c r="B9" s="3" t="s">
        <v>99</v>
      </c>
      <c r="C9" s="8" t="s">
        <v>86</v>
      </c>
    </row>
    <row r="10" customFormat="false" ht="15" hidden="false" customHeight="false" outlineLevel="0" collapsed="false">
      <c r="A10" s="11" t="s">
        <v>100</v>
      </c>
      <c r="B10" s="3" t="s">
        <v>101</v>
      </c>
      <c r="C10" s="8" t="s">
        <v>86</v>
      </c>
    </row>
    <row r="11" customFormat="false" ht="15" hidden="false" customHeight="false" outlineLevel="0" collapsed="false">
      <c r="A11" s="11" t="s">
        <v>102</v>
      </c>
      <c r="B11" s="3" t="s">
        <v>103</v>
      </c>
      <c r="C11" s="8" t="s">
        <v>104</v>
      </c>
    </row>
    <row r="12" customFormat="false" ht="15" hidden="false" customHeight="false" outlineLevel="0" collapsed="false">
      <c r="A12" s="11" t="s">
        <v>105</v>
      </c>
      <c r="B12" s="3" t="s">
        <v>106</v>
      </c>
      <c r="C12" s="8" t="s">
        <v>107</v>
      </c>
    </row>
    <row r="13" customFormat="false" ht="15" hidden="false" customHeight="false" outlineLevel="0" collapsed="false">
      <c r="A13" s="11" t="s">
        <v>108</v>
      </c>
      <c r="B13" s="3" t="s">
        <v>109</v>
      </c>
      <c r="C13" s="8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24"/>
  </cols>
  <sheetData>
    <row r="1" customFormat="false" ht="17.35" hidden="false" customHeight="false" outlineLevel="0" collapsed="false">
      <c r="A1" s="1" t="s">
        <v>110</v>
      </c>
    </row>
    <row r="3" customFormat="false" ht="15" hidden="false" customHeight="false" outlineLevel="0" collapsed="false">
      <c r="A3" s="2" t="s">
        <v>111</v>
      </c>
      <c r="B3" s="2" t="s">
        <v>43</v>
      </c>
      <c r="C3" s="2" t="s">
        <v>13</v>
      </c>
    </row>
    <row r="4" customFormat="false" ht="15" hidden="false" customHeight="false" outlineLevel="0" collapsed="false">
      <c r="A4" s="11" t="s">
        <v>112</v>
      </c>
      <c r="B4" s="3" t="s">
        <v>113</v>
      </c>
      <c r="C4" s="8" t="s">
        <v>17</v>
      </c>
    </row>
    <row r="5" customFormat="false" ht="15" hidden="false" customHeight="false" outlineLevel="0" collapsed="false">
      <c r="A5" s="11" t="s">
        <v>114</v>
      </c>
      <c r="B5" s="3" t="s">
        <v>115</v>
      </c>
      <c r="C5" s="8" t="s">
        <v>116</v>
      </c>
    </row>
    <row r="6" customFormat="false" ht="15" hidden="false" customHeight="false" outlineLevel="0" collapsed="false">
      <c r="A6" s="11" t="s">
        <v>117</v>
      </c>
      <c r="B6" s="3" t="s">
        <v>118</v>
      </c>
      <c r="C6" s="8" t="s">
        <v>31</v>
      </c>
    </row>
    <row r="7" customFormat="false" ht="15" hidden="false" customHeight="false" outlineLevel="0" collapsed="false">
      <c r="A7" s="11" t="s">
        <v>119</v>
      </c>
      <c r="B7" s="3" t="s">
        <v>120</v>
      </c>
      <c r="C7" s="8" t="s">
        <v>65</v>
      </c>
    </row>
    <row r="8" customFormat="false" ht="15" hidden="false" customHeight="false" outlineLevel="0" collapsed="false">
      <c r="A8" s="11" t="s">
        <v>121</v>
      </c>
      <c r="B8" s="3" t="s">
        <v>122</v>
      </c>
      <c r="C8" s="8" t="s">
        <v>31</v>
      </c>
    </row>
    <row r="9" customFormat="false" ht="15" hidden="false" customHeight="false" outlineLevel="0" collapsed="false">
      <c r="A9" s="11" t="s">
        <v>123</v>
      </c>
      <c r="B9" s="3" t="s">
        <v>124</v>
      </c>
      <c r="C9" s="8" t="s">
        <v>97</v>
      </c>
    </row>
    <row r="10" customFormat="false" ht="15" hidden="false" customHeight="false" outlineLevel="0" collapsed="false">
      <c r="A10" s="11" t="s">
        <v>125</v>
      </c>
      <c r="B10" s="3" t="s">
        <v>126</v>
      </c>
      <c r="C10" s="8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42"/>
  </cols>
  <sheetData>
    <row r="1" customFormat="false" ht="17.35" hidden="false" customHeight="false" outlineLevel="0" collapsed="false">
      <c r="A1" s="1" t="s">
        <v>128</v>
      </c>
    </row>
    <row r="3" customFormat="false" ht="15" hidden="false" customHeight="false" outlineLevel="0" collapsed="false">
      <c r="A3" s="2" t="s">
        <v>129</v>
      </c>
      <c r="B3" s="2" t="s">
        <v>13</v>
      </c>
      <c r="C3" s="2" t="s">
        <v>130</v>
      </c>
    </row>
    <row r="4" customFormat="false" ht="15" hidden="false" customHeight="false" outlineLevel="0" collapsed="false">
      <c r="A4" s="11" t="n">
        <v>1</v>
      </c>
      <c r="B4" s="11" t="s">
        <v>131</v>
      </c>
      <c r="C4" s="8" t="s">
        <v>132</v>
      </c>
    </row>
    <row r="5" customFormat="false" ht="15" hidden="false" customHeight="false" outlineLevel="0" collapsed="false">
      <c r="A5" s="11" t="n">
        <v>2</v>
      </c>
      <c r="B5" s="11" t="s">
        <v>133</v>
      </c>
      <c r="C5" s="8" t="s">
        <v>134</v>
      </c>
    </row>
    <row r="6" customFormat="false" ht="15" hidden="false" customHeight="false" outlineLevel="0" collapsed="false">
      <c r="A6" s="11" t="n">
        <v>3</v>
      </c>
      <c r="B6" s="11" t="s">
        <v>135</v>
      </c>
      <c r="C6" s="8" t="s">
        <v>136</v>
      </c>
    </row>
    <row r="7" customFormat="false" ht="15" hidden="false" customHeight="false" outlineLevel="0" collapsed="false">
      <c r="A7" s="11" t="n">
        <v>4</v>
      </c>
      <c r="B7" s="11" t="s">
        <v>137</v>
      </c>
      <c r="C7" s="8" t="s">
        <v>138</v>
      </c>
    </row>
    <row r="8" customFormat="false" ht="15" hidden="false" customHeight="false" outlineLevel="0" collapsed="false">
      <c r="A8" s="11" t="n">
        <v>5</v>
      </c>
      <c r="B8" s="11" t="s">
        <v>139</v>
      </c>
      <c r="C8" s="8" t="s">
        <v>140</v>
      </c>
    </row>
    <row r="9" customFormat="false" ht="15" hidden="false" customHeight="false" outlineLevel="0" collapsed="false">
      <c r="A9" s="11" t="n">
        <v>6</v>
      </c>
      <c r="B9" s="11" t="s">
        <v>141</v>
      </c>
      <c r="C9" s="8" t="s">
        <v>142</v>
      </c>
    </row>
    <row r="10" customFormat="false" ht="15" hidden="false" customHeight="false" outlineLevel="0" collapsed="false">
      <c r="A10" s="11" t="n">
        <v>7</v>
      </c>
      <c r="B10" s="11" t="s">
        <v>143</v>
      </c>
      <c r="C10" s="8" t="s">
        <v>144</v>
      </c>
    </row>
    <row r="11" customFormat="false" ht="15" hidden="false" customHeight="false" outlineLevel="0" collapsed="false">
      <c r="A11" s="11" t="n">
        <v>8</v>
      </c>
      <c r="B11" s="11" t="s">
        <v>145</v>
      </c>
      <c r="C11" s="8" t="s">
        <v>146</v>
      </c>
    </row>
    <row r="12" customFormat="false" ht="15" hidden="false" customHeight="false" outlineLevel="0" collapsed="false">
      <c r="A12" s="11" t="n">
        <v>9</v>
      </c>
      <c r="B12" s="11" t="s">
        <v>147</v>
      </c>
      <c r="C12" s="8" t="s">
        <v>148</v>
      </c>
    </row>
    <row r="13" customFormat="false" ht="15" hidden="false" customHeight="false" outlineLevel="0" collapsed="false">
      <c r="A13" s="11" t="n">
        <v>10</v>
      </c>
      <c r="B13" s="11" t="s">
        <v>149</v>
      </c>
      <c r="C13" s="8" t="s">
        <v>150</v>
      </c>
    </row>
    <row r="14" customFormat="false" ht="15" hidden="false" customHeight="false" outlineLevel="0" collapsed="false">
      <c r="A14" s="11" t="n">
        <v>11</v>
      </c>
      <c r="B14" s="11" t="s">
        <v>151</v>
      </c>
      <c r="C14" s="8" t="s">
        <v>152</v>
      </c>
    </row>
    <row r="15" customFormat="false" ht="15" hidden="false" customHeight="false" outlineLevel="0" collapsed="false">
      <c r="A15" s="11" t="n">
        <v>12</v>
      </c>
      <c r="B15" s="11" t="s">
        <v>153</v>
      </c>
      <c r="C15" s="8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2026-06-13T23:40:15Z</dcterms:created>
  <dc:creator>openpyxl</dc:creator>
  <dc:description/>
  <dc:language>en-US</dc:language>
  <cp:lastModifiedBy/>
  <dcterms:modified xsi:type="dcterms:W3CDTF">2026-06-13T23:40:15Z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